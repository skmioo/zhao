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10" windowHeight="13140" activeTab="1"/>
  </bookViews>
  <sheets>
    <sheet name="更新记录" sheetId="3" r:id="rId1"/>
    <sheet name="输出表" sheetId="2" r:id="rId2"/>
    <sheet name="字符表" sheetId="4" state="hidden" r:id="rId3"/>
  </sheets>
  <calcPr calcId="144525"/>
</workbook>
</file>

<file path=xl/comments1.xml><?xml version="1.0" encoding="utf-8"?>
<comments xmlns="http://schemas.openxmlformats.org/spreadsheetml/2006/main">
  <authors>
    <author>admin</author>
  </authors>
  <commentList>
    <comment ref="D4" authorId="0">
      <text>
        <r>
          <rPr>
            <b/>
            <sz val="16"/>
            <rFont val="宋体"/>
            <charset val="134"/>
          </rPr>
          <t>admin:</t>
        </r>
        <r>
          <rPr>
            <sz val="16"/>
            <rFont val="宋体"/>
            <charset val="134"/>
          </rPr>
          <t xml:space="preserve">
1:初始系列
2:黑色系列
3：other系列
</t>
        </r>
      </text>
    </comment>
    <comment ref="T4" authorId="0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水雷以发射力为初速度，此速度为加速度做匀减速运动</t>
        </r>
      </text>
    </comment>
    <comment ref="U4" authorId="0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发射后多久进行隐藏或伪装</t>
        </r>
      </text>
    </comment>
    <comment ref="Z4" authorId="0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回旋镖朝发射方向匀加速到最大速度后做匀减速，减为0后再朝发射者做匀加速</t>
        </r>
      </text>
    </comment>
    <comment ref="AA4" authorId="0">
      <text>
        <r>
          <rPr>
            <b/>
            <sz val="9"/>
            <rFont val="宋体"/>
            <charset val="134"/>
          </rPr>
          <t>admin:</t>
        </r>
        <r>
          <rPr>
            <sz val="9"/>
            <rFont val="宋体"/>
            <charset val="134"/>
          </rPr>
          <t xml:space="preserve">
包围盒重叠时每隔一段时间触发一次伤害</t>
        </r>
      </text>
    </comment>
  </commentList>
</comments>
</file>

<file path=xl/sharedStrings.xml><?xml version="1.0" encoding="utf-8"?>
<sst xmlns="http://schemas.openxmlformats.org/spreadsheetml/2006/main" count="146" uniqueCount="143">
  <si>
    <t>修订日期</t>
  </si>
  <si>
    <t>修订内容</t>
  </si>
  <si>
    <t>修订人</t>
  </si>
  <si>
    <t>备注</t>
  </si>
  <si>
    <t>生成配置信息</t>
  </si>
  <si>
    <t>配置独立属性</t>
  </si>
  <si>
    <t>是否生成后端配置</t>
  </si>
  <si>
    <t>0=否
1=是</t>
  </si>
  <si>
    <t>创建</t>
  </si>
  <si>
    <t>史炳诚</t>
  </si>
  <si>
    <t>后端文件名</t>
  </si>
  <si>
    <t>表名</t>
  </si>
  <si>
    <t>Output</t>
  </si>
  <si>
    <t>是否生成前端配置</t>
  </si>
  <si>
    <t>前端文件名</t>
  </si>
  <si>
    <t>XML行头</t>
  </si>
  <si>
    <t>data</t>
  </si>
  <si>
    <t>表id</t>
  </si>
  <si>
    <t>配置文件名</t>
  </si>
  <si>
    <t>预留配置</t>
  </si>
  <si>
    <t>int</t>
  </si>
  <si>
    <t>string</t>
  </si>
  <si>
    <t>float</t>
  </si>
  <si>
    <t>floatarray</t>
  </si>
  <si>
    <t>id</t>
  </si>
  <si>
    <t>CableSection</t>
  </si>
  <si>
    <t>Resistance</t>
  </si>
  <si>
    <t>InductiveReactance</t>
  </si>
  <si>
    <t>VoltageDrop</t>
  </si>
  <si>
    <t>VoltageDropCoefficient</t>
  </si>
  <si>
    <t>SC2序号</t>
  </si>
  <si>
    <t>SC2电缆截面</t>
  </si>
  <si>
    <t>SC2电阻θn=80℃(Ω/km)</t>
  </si>
  <si>
    <t>SC2感抗(Ω/km)</t>
  </si>
  <si>
    <t>SC2单位电压降Δua%[%/(A·km)]</t>
  </si>
  <si>
    <t>SC2单位电压降系数Δua%[%/(A·km)]</t>
  </si>
  <si>
    <r>
      <rPr>
        <sz val="12"/>
        <rFont val="宋体"/>
        <charset val="134"/>
      </rPr>
      <t>3</t>
    </r>
    <r>
      <rPr>
        <sz val="12"/>
        <rFont val="宋体"/>
        <charset val="134"/>
      </rPr>
      <t>×</t>
    </r>
    <r>
      <rPr>
        <sz val="12"/>
        <rFont val="宋体"/>
        <charset val="134"/>
      </rPr>
      <t>4</t>
    </r>
  </si>
  <si>
    <t>4×4</t>
  </si>
  <si>
    <t>5×4</t>
  </si>
  <si>
    <t>3×6</t>
  </si>
  <si>
    <t>4×6</t>
  </si>
  <si>
    <t>5×6</t>
  </si>
  <si>
    <t>3×10</t>
  </si>
  <si>
    <t>4×10</t>
  </si>
  <si>
    <t>5×10</t>
  </si>
  <si>
    <t>3×16</t>
  </si>
  <si>
    <t>4×16</t>
  </si>
  <si>
    <t>5×16</t>
  </si>
  <si>
    <t>3×25</t>
  </si>
  <si>
    <t>3×25+1×16</t>
  </si>
  <si>
    <r>
      <rPr>
        <sz val="12"/>
        <rFont val="宋体"/>
        <charset val="134"/>
      </rPr>
      <t>3×25+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×16</t>
    </r>
  </si>
  <si>
    <t>3×35</t>
  </si>
  <si>
    <t>3×35+1×16</t>
  </si>
  <si>
    <r>
      <rPr>
        <sz val="12"/>
        <rFont val="宋体"/>
        <charset val="134"/>
      </rPr>
      <t>3×35+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×16</t>
    </r>
  </si>
  <si>
    <t>3×50</t>
  </si>
  <si>
    <t>3×50+1×25</t>
  </si>
  <si>
    <r>
      <rPr>
        <sz val="12"/>
        <rFont val="宋体"/>
        <charset val="134"/>
      </rPr>
      <t>3×50+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×25</t>
    </r>
  </si>
  <si>
    <t>3×70</t>
  </si>
  <si>
    <t>3×70+1×35</t>
  </si>
  <si>
    <r>
      <rPr>
        <sz val="12"/>
        <rFont val="宋体"/>
        <charset val="134"/>
      </rPr>
      <t>3×70+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×35</t>
    </r>
  </si>
  <si>
    <t>3×95</t>
  </si>
  <si>
    <t>3×95+1×50</t>
  </si>
  <si>
    <r>
      <rPr>
        <sz val="12"/>
        <rFont val="宋体"/>
        <charset val="134"/>
      </rPr>
      <t>3×95+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×50</t>
    </r>
  </si>
  <si>
    <t>3×120</t>
  </si>
  <si>
    <t>3×120+1×70</t>
  </si>
  <si>
    <r>
      <rPr>
        <sz val="12"/>
        <rFont val="宋体"/>
        <charset val="134"/>
      </rPr>
      <t>3×120+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×70</t>
    </r>
  </si>
  <si>
    <t>3×150</t>
  </si>
  <si>
    <t>3×150+1×70</t>
  </si>
  <si>
    <r>
      <rPr>
        <sz val="12"/>
        <rFont val="宋体"/>
        <charset val="134"/>
      </rPr>
      <t>3×150+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×70</t>
    </r>
  </si>
  <si>
    <t>3×185</t>
  </si>
  <si>
    <t>3×185+1×95</t>
  </si>
  <si>
    <r>
      <rPr>
        <sz val="12"/>
        <rFont val="宋体"/>
        <charset val="134"/>
      </rPr>
      <t>3×185+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×95</t>
    </r>
  </si>
  <si>
    <t>3×240</t>
  </si>
  <si>
    <t>3×240+1×120</t>
  </si>
  <si>
    <r>
      <rPr>
        <sz val="12"/>
        <rFont val="宋体"/>
        <charset val="134"/>
      </rPr>
      <t>3×240+</t>
    </r>
    <r>
      <rPr>
        <sz val="12"/>
        <rFont val="宋体"/>
        <charset val="134"/>
      </rPr>
      <t>2</t>
    </r>
    <r>
      <rPr>
        <sz val="12"/>
        <rFont val="宋体"/>
        <charset val="134"/>
      </rPr>
      <t>×120</t>
    </r>
  </si>
  <si>
    <t>变量名称</t>
  </si>
  <si>
    <t>内容</t>
  </si>
  <si>
    <t>表头</t>
  </si>
  <si>
    <t>&lt;?xml version="1.0" encoding="UTF-8"?&gt;</t>
  </si>
  <si>
    <t>首节</t>
  </si>
  <si>
    <t>尾节</t>
  </si>
  <si>
    <t>&lt;/root&gt;</t>
  </si>
  <si>
    <t>字头</t>
  </si>
  <si>
    <t xml:space="preserve">public </t>
  </si>
  <si>
    <t>字尾</t>
  </si>
  <si>
    <t>{get;private set;}</t>
  </si>
  <si>
    <t>"&gt;</t>
  </si>
  <si>
    <t>名称</t>
  </si>
  <si>
    <t>name = "</t>
  </si>
  <si>
    <t>desc = "</t>
  </si>
  <si>
    <t>值</t>
  </si>
  <si>
    <t>value = "</t>
  </si>
  <si>
    <t>引号</t>
  </si>
  <si>
    <t>"</t>
  </si>
  <si>
    <t>文本首节</t>
  </si>
  <si>
    <t>&lt;col name="</t>
  </si>
  <si>
    <t>文本尾节</t>
  </si>
  <si>
    <t>&lt;/col&gt;</t>
  </si>
  <si>
    <t>文本字头</t>
  </si>
  <si>
    <t>&lt;![CDATA[</t>
  </si>
  <si>
    <t>文本字尾</t>
  </si>
  <si>
    <t>]]&gt;</t>
  </si>
  <si>
    <t>行头</t>
  </si>
  <si>
    <t>行尾</t>
  </si>
  <si>
    <t>/&gt;</t>
  </si>
  <si>
    <t>标志</t>
  </si>
  <si>
    <t xml:space="preserve">premarykey="1" </t>
  </si>
  <si>
    <t>第一段</t>
  </si>
  <si>
    <t>#ifndef _Sprite_</t>
  </si>
  <si>
    <t>第二段</t>
  </si>
  <si>
    <t>#define _Sprite_</t>
  </si>
  <si>
    <t>第三段</t>
  </si>
  <si>
    <t>#include "</t>
  </si>
  <si>
    <t>注释</t>
  </si>
  <si>
    <t xml:space="preserve"> // </t>
  </si>
  <si>
    <t>分号</t>
  </si>
  <si>
    <t xml:space="preserve">; </t>
  </si>
  <si>
    <t>整型</t>
  </si>
  <si>
    <t xml:space="preserve">int </t>
  </si>
  <si>
    <t>浮点</t>
  </si>
  <si>
    <t xml:space="preserve">float </t>
  </si>
  <si>
    <t>文本</t>
  </si>
  <si>
    <t xml:space="preserve">std::string </t>
  </si>
  <si>
    <t>空格</t>
  </si>
  <si>
    <t xml:space="preserve">    </t>
  </si>
  <si>
    <t>程序用</t>
  </si>
  <si>
    <t>Properties</t>
  </si>
  <si>
    <t>杠H</t>
  </si>
  <si>
    <t>_H_</t>
  </si>
  <si>
    <t>第四段</t>
  </si>
  <si>
    <t xml:space="preserve">struct </t>
  </si>
  <si>
    <t>特殊输出</t>
  </si>
  <si>
    <t xml:space="preserve"> public CharProperties</t>
  </si>
  <si>
    <t>第五段</t>
  </si>
  <si>
    <t xml:space="preserve">&amp; operator=(const </t>
  </si>
  <si>
    <t>第六段</t>
  </si>
  <si>
    <t>&amp; t1)</t>
  </si>
  <si>
    <t>第七段</t>
  </si>
  <si>
    <t xml:space="preserve">
        return *this;
    }
};
#endif</t>
  </si>
  <si>
    <t>插入段</t>
  </si>
  <si>
    <t>#include "cocos2d.h"
using namespace cocos2d;</t>
  </si>
  <si>
    <t>路径1记录</t>
  </si>
  <si>
    <t>路径2记录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</si>
</sst>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_ "/>
    <numFmt numFmtId="177" formatCode="0.000_ "/>
  </numFmts>
  <fonts count="3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</font>
    <font>
      <sz val="12"/>
      <color theme="1"/>
      <name val="宋体"/>
      <charset val="134"/>
    </font>
    <font>
      <sz val="11"/>
      <color theme="1"/>
      <name val="宋体"/>
      <charset val="134"/>
    </font>
    <font>
      <sz val="20"/>
      <color theme="1"/>
      <name val="宋体"/>
      <charset val="134"/>
    </font>
    <font>
      <sz val="12"/>
      <name val="宋体"/>
      <charset val="134"/>
    </font>
    <font>
      <sz val="11"/>
      <color rgb="FF191F25"/>
      <name val="宋体"/>
      <charset val="134"/>
    </font>
    <font>
      <sz val="11"/>
      <color theme="1"/>
      <name val="微软雅黑"/>
      <charset val="134"/>
    </font>
    <font>
      <b/>
      <sz val="10"/>
      <color indexed="8"/>
      <name val="微软雅黑"/>
      <charset val="134"/>
    </font>
    <font>
      <b/>
      <sz val="11"/>
      <color theme="1"/>
      <name val="微软雅黑"/>
      <charset val="134"/>
    </font>
    <font>
      <sz val="11"/>
      <color rgb="FF3F3F7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indexed="8"/>
      <name val="宋体"/>
      <charset val="134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indexed="60"/>
      <name val="宋体"/>
      <charset val="134"/>
    </font>
    <font>
      <sz val="11"/>
      <color theme="1"/>
      <name val="Tahoma"/>
      <charset val="134"/>
    </font>
    <font>
      <sz val="9"/>
      <name val="宋体"/>
      <charset val="134"/>
    </font>
    <font>
      <b/>
      <sz val="9"/>
      <name val="宋体"/>
      <charset val="134"/>
    </font>
    <font>
      <sz val="16"/>
      <name val="宋体"/>
      <charset val="134"/>
    </font>
    <font>
      <b/>
      <sz val="16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88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1" fillId="5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22" applyNumberFormat="0" applyFont="0" applyAlignment="0" applyProtection="0">
      <alignment vertical="center"/>
    </xf>
    <xf numFmtId="0" fontId="0" fillId="0" borderId="0"/>
    <xf numFmtId="0" fontId="14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23" applyNumberFormat="0" applyFill="0" applyAlignment="0" applyProtection="0">
      <alignment vertical="center"/>
    </xf>
    <xf numFmtId="0" fontId="29" fillId="0" borderId="23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6" fillId="22" borderId="25" applyNumberFormat="0" applyAlignment="0" applyProtection="0">
      <alignment vertical="center"/>
    </xf>
    <xf numFmtId="0" fontId="19" fillId="22" borderId="20" applyNumberFormat="0" applyAlignment="0" applyProtection="0">
      <alignment vertical="center"/>
    </xf>
    <xf numFmtId="0" fontId="22" fillId="23" borderId="24" applyNumberFormat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8" fillId="0" borderId="26" applyNumberFormat="0" applyFill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14" fillId="32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0" borderId="0">
      <alignment vertical="center"/>
    </xf>
    <xf numFmtId="0" fontId="13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14" fillId="35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1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0" fillId="0" borderId="0">
      <alignment vertical="center"/>
    </xf>
    <xf numFmtId="0" fontId="31" fillId="0" borderId="0"/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31" fillId="0" borderId="0"/>
    <xf numFmtId="0" fontId="0" fillId="0" borderId="0">
      <alignment vertical="center"/>
    </xf>
    <xf numFmtId="0" fontId="16" fillId="0" borderId="0">
      <alignment vertical="center"/>
    </xf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wrapText="1"/>
    </xf>
    <xf numFmtId="0" fontId="0" fillId="0" borderId="2" xfId="0" applyBorder="1" applyAlignment="1"/>
    <xf numFmtId="0" fontId="2" fillId="0" borderId="2" xfId="11" applyBorder="1" applyAlignment="1" applyProtection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5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6" fillId="0" borderId="3" xfId="0" applyFont="1" applyFill="1" applyBorder="1" applyAlignment="1">
      <alignment horizontal="center" vertical="center" wrapText="1"/>
    </xf>
    <xf numFmtId="177" fontId="6" fillId="0" borderId="4" xfId="0" applyNumberFormat="1" applyFont="1" applyFill="1" applyBorder="1" applyAlignment="1">
      <alignment horizontal="center" vertical="center" wrapText="1"/>
    </xf>
    <xf numFmtId="177" fontId="6" fillId="0" borderId="5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horizontal="center" vertical="center" wrapText="1"/>
    </xf>
    <xf numFmtId="177" fontId="6" fillId="0" borderId="7" xfId="0" applyNumberFormat="1" applyFont="1" applyFill="1" applyBorder="1" applyAlignment="1">
      <alignment horizontal="center" vertical="center" wrapText="1"/>
    </xf>
    <xf numFmtId="177" fontId="6" fillId="0" borderId="8" xfId="0" applyNumberFormat="1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177" fontId="6" fillId="0" borderId="10" xfId="0" applyNumberFormat="1" applyFont="1" applyFill="1" applyBorder="1" applyAlignment="1">
      <alignment horizontal="center" vertical="center" wrapText="1"/>
    </xf>
    <xf numFmtId="177" fontId="6" fillId="0" borderId="11" xfId="0" applyNumberFormat="1" applyFont="1" applyFill="1" applyBorder="1" applyAlignment="1">
      <alignment horizontal="center" vertical="center" wrapText="1"/>
    </xf>
    <xf numFmtId="176" fontId="6" fillId="0" borderId="3" xfId="0" applyNumberFormat="1" applyFont="1" applyFill="1" applyBorder="1" applyAlignment="1">
      <alignment horizontal="center" vertical="center" wrapText="1"/>
    </xf>
    <xf numFmtId="176" fontId="6" fillId="0" borderId="4" xfId="0" applyNumberFormat="1" applyFont="1" applyFill="1" applyBorder="1" applyAlignment="1">
      <alignment horizontal="center" vertical="center" wrapText="1"/>
    </xf>
    <xf numFmtId="176" fontId="6" fillId="0" borderId="5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left" vertical="center"/>
    </xf>
    <xf numFmtId="176" fontId="6" fillId="0" borderId="6" xfId="0" applyNumberFormat="1" applyFont="1" applyFill="1" applyBorder="1" applyAlignment="1">
      <alignment horizontal="center" vertical="center" wrapText="1"/>
    </xf>
    <xf numFmtId="176" fontId="6" fillId="0" borderId="7" xfId="0" applyNumberFormat="1" applyFont="1" applyFill="1" applyBorder="1" applyAlignment="1">
      <alignment horizontal="center" vertical="center" wrapText="1"/>
    </xf>
    <xf numFmtId="176" fontId="6" fillId="0" borderId="8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/>
    </xf>
    <xf numFmtId="176" fontId="6" fillId="0" borderId="9" xfId="0" applyNumberFormat="1" applyFont="1" applyFill="1" applyBorder="1" applyAlignment="1">
      <alignment horizontal="center" vertical="center" wrapText="1"/>
    </xf>
    <xf numFmtId="176" fontId="6" fillId="0" borderId="10" xfId="0" applyNumberFormat="1" applyFont="1" applyFill="1" applyBorder="1" applyAlignment="1">
      <alignment horizontal="center" vertical="center" wrapText="1"/>
    </xf>
    <xf numFmtId="176" fontId="6" fillId="0" borderId="1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2" borderId="0" xfId="0" applyFont="1" applyFill="1" applyAlignment="1"/>
    <xf numFmtId="0" fontId="8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10" fillId="4" borderId="14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4" borderId="15" xfId="0" applyFont="1" applyFill="1" applyBorder="1">
      <alignment vertical="center"/>
    </xf>
    <xf numFmtId="0" fontId="10" fillId="4" borderId="16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7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Protection="1">
      <alignment vertical="center"/>
      <protection locked="0"/>
    </xf>
    <xf numFmtId="0" fontId="8" fillId="0" borderId="18" xfId="0" applyFont="1" applyBorder="1" applyAlignment="1">
      <alignment horizontal="center" vertical="center"/>
    </xf>
    <xf numFmtId="0" fontId="8" fillId="0" borderId="1" xfId="0" applyFont="1" applyBorder="1" applyProtection="1">
      <alignment vertical="center"/>
      <protection locked="0"/>
    </xf>
  </cellXfs>
  <cellStyles count="88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常规 2 3 3" xfId="5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常规 6" xfId="15"/>
    <cellStyle name="60% - 强调文字颜色 2" xfId="16" builtinId="36"/>
    <cellStyle name="标题 4" xfId="17" builtinId="19"/>
    <cellStyle name="警告文本" xfId="18" builtinId="11"/>
    <cellStyle name="标题" xfId="19" builtinId="15"/>
    <cellStyle name="常规 3 2 2" xfId="20"/>
    <cellStyle name="常规 2 5" xfId="21"/>
    <cellStyle name="常规 12" xfId="22"/>
    <cellStyle name="解释性文本" xfId="23" builtinId="53"/>
    <cellStyle name="标题 1" xfId="24" builtinId="16"/>
    <cellStyle name="标题 2" xfId="25" builtinId="17"/>
    <cellStyle name="60% - 强调文字颜色 1" xfId="26" builtinId="32"/>
    <cellStyle name="标题 3" xfId="27" builtinId="18"/>
    <cellStyle name="60% - 强调文字颜色 4" xfId="28" builtinId="44"/>
    <cellStyle name="输出" xfId="29" builtinId="21"/>
    <cellStyle name="计算" xfId="30" builtinId="22"/>
    <cellStyle name="检查单元格" xfId="31" builtinId="23"/>
    <cellStyle name="20% - 强调文字颜色 6" xfId="32" builtinId="50"/>
    <cellStyle name="强调文字颜色 2" xfId="33" builtinId="33"/>
    <cellStyle name="链接单元格" xfId="34" builtinId="24"/>
    <cellStyle name="汇总" xfId="35" builtinId="25"/>
    <cellStyle name="好" xfId="36" builtinId="26"/>
    <cellStyle name="适中" xfId="37" builtinId="28"/>
    <cellStyle name="20% - 强调文字颜色 5" xfId="38" builtinId="46"/>
    <cellStyle name="强调文字颜色 1" xfId="39" builtinId="29"/>
    <cellStyle name="常规 2 2 2" xfId="40"/>
    <cellStyle name="20% - 强调文字颜色 1" xfId="41" builtinId="30"/>
    <cellStyle name="40% - 强调文字颜色 1" xfId="42" builtinId="31"/>
    <cellStyle name="常规 2 2 3" xfId="43"/>
    <cellStyle name="20% - 强调文字颜色 2" xfId="44" builtinId="34"/>
    <cellStyle name="40% - 强调文字颜色 2" xfId="45" builtinId="35"/>
    <cellStyle name="强调文字颜色 3" xfId="46" builtinId="37"/>
    <cellStyle name="常规 3 2" xfId="47"/>
    <cellStyle name="强调文字颜色 4" xfId="48" builtinId="41"/>
    <cellStyle name="20% - 强调文字颜色 4" xfId="49" builtinId="42"/>
    <cellStyle name="40% - 强调文字颜色 4" xfId="50" builtinId="43"/>
    <cellStyle name="强调文字颜色 5" xfId="51" builtinId="45"/>
    <cellStyle name="常规 2 2" xfId="52"/>
    <cellStyle name="40% - 强调文字颜色 5" xfId="53" builtinId="47"/>
    <cellStyle name="60% - 强调文字颜色 5" xfId="54" builtinId="48"/>
    <cellStyle name="强调文字颜色 6" xfId="55" builtinId="49"/>
    <cellStyle name="常规 2 3" xfId="56"/>
    <cellStyle name="常规 10" xfId="57"/>
    <cellStyle name="40% - 强调文字颜色 6" xfId="58" builtinId="51"/>
    <cellStyle name="常规 2 3 2" xfId="59"/>
    <cellStyle name="60% - 强调文字颜色 6" xfId="60" builtinId="52"/>
    <cellStyle name="差 2" xfId="61"/>
    <cellStyle name="常规 13" xfId="62"/>
    <cellStyle name="常规 2" xfId="63"/>
    <cellStyle name="常规 2 4" xfId="64"/>
    <cellStyle name="常规 3" xfId="65"/>
    <cellStyle name="常规 3 2 3" xfId="66"/>
    <cellStyle name="常规 3 3" xfId="67"/>
    <cellStyle name="常规 3 3 2" xfId="68"/>
    <cellStyle name="常规 3 3 3" xfId="69"/>
    <cellStyle name="常规 7" xfId="70"/>
    <cellStyle name="常规 3 3 9" xfId="71"/>
    <cellStyle name="常规 3 4" xfId="72"/>
    <cellStyle name="常规 3 5" xfId="73"/>
    <cellStyle name="常规 4" xfId="74"/>
    <cellStyle name="常规 4 2" xfId="75"/>
    <cellStyle name="常规 4 4" xfId="76"/>
    <cellStyle name="常规 4 2 2" xfId="77"/>
    <cellStyle name="常规 4 5" xfId="78"/>
    <cellStyle name="常规 4 2 3" xfId="79"/>
    <cellStyle name="常规 4 3" xfId="80"/>
    <cellStyle name="常规 4 3 2" xfId="81"/>
    <cellStyle name="常规 4 3 3" xfId="82"/>
    <cellStyle name="常规 4 3 4" xfId="83"/>
    <cellStyle name="常规 5" xfId="84"/>
    <cellStyle name="常规 7 2" xfId="85"/>
    <cellStyle name="常规 8" xfId="86"/>
    <cellStyle name="常规 9" xfId="87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>
      <xdr:nvSpPr>
        <xdr:cNvPr id="8" name="矩形 7"/>
        <xdr:cNvSpPr/>
      </xdr:nvSpPr>
      <xdr:spPr>
        <a:xfrm>
          <a:off x="33020" y="33020"/>
          <a:ext cx="695325" cy="35877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  <a:endParaRPr lang="zh-CN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9"/>
  <sheetViews>
    <sheetView topLeftCell="C1" workbookViewId="0">
      <selection activeCell="I3" sqref="I3"/>
    </sheetView>
  </sheetViews>
  <sheetFormatPr defaultColWidth="9" defaultRowHeight="16.5"/>
  <cols>
    <col min="1" max="1" width="11.625" style="41" customWidth="1"/>
    <col min="2" max="2" width="75.625" style="41" customWidth="1"/>
    <col min="3" max="5" width="9" style="41"/>
    <col min="6" max="6" width="13.25" style="41" customWidth="1"/>
    <col min="7" max="7" width="24.375" style="41" customWidth="1"/>
    <col min="8" max="8" width="13.375" style="41" customWidth="1"/>
    <col min="9" max="9" width="15.5" style="41" customWidth="1"/>
    <col min="10" max="16384" width="9" style="41"/>
  </cols>
  <sheetData>
    <row r="1" spans="1:15">
      <c r="A1" s="42" t="s">
        <v>0</v>
      </c>
      <c r="B1" s="42" t="s">
        <v>1</v>
      </c>
      <c r="C1" s="42" t="s">
        <v>2</v>
      </c>
      <c r="D1" s="42" t="s">
        <v>3</v>
      </c>
      <c r="F1" s="43" t="s">
        <v>4</v>
      </c>
      <c r="G1" s="44"/>
      <c r="H1" s="44" t="s">
        <v>5</v>
      </c>
      <c r="I1" s="52"/>
      <c r="L1" s="48" t="s">
        <v>6</v>
      </c>
      <c r="M1" s="46">
        <v>1</v>
      </c>
      <c r="N1" s="53" t="s">
        <v>7</v>
      </c>
      <c r="O1" s="54"/>
    </row>
    <row r="2" spans="1:15">
      <c r="A2" s="45">
        <v>41134</v>
      </c>
      <c r="B2" s="46" t="s">
        <v>8</v>
      </c>
      <c r="C2" s="46" t="s">
        <v>9</v>
      </c>
      <c r="D2" s="46"/>
      <c r="F2" s="47" t="s">
        <v>10</v>
      </c>
      <c r="G2" s="48" t="str">
        <f>I2&amp;".xml"</f>
        <v>Output.xml</v>
      </c>
      <c r="H2" s="48" t="s">
        <v>11</v>
      </c>
      <c r="I2" s="55" t="s">
        <v>12</v>
      </c>
      <c r="L2" s="48" t="s">
        <v>13</v>
      </c>
      <c r="M2" s="46">
        <v>1</v>
      </c>
      <c r="N2" s="56"/>
      <c r="O2" s="54"/>
    </row>
    <row r="3" ht="17.25" spans="1:9">
      <c r="A3" s="46"/>
      <c r="B3" s="46"/>
      <c r="C3" s="46"/>
      <c r="D3" s="46"/>
      <c r="F3" s="49" t="s">
        <v>14</v>
      </c>
      <c r="G3" s="50" t="str">
        <f>I2&amp;".txt"</f>
        <v>Output.txt</v>
      </c>
      <c r="H3" s="48" t="s">
        <v>15</v>
      </c>
      <c r="I3" s="55" t="s">
        <v>16</v>
      </c>
    </row>
    <row r="4" spans="1:9">
      <c r="A4" s="46"/>
      <c r="B4" s="46"/>
      <c r="C4" s="46"/>
      <c r="D4" s="46"/>
      <c r="H4" s="47" t="s">
        <v>17</v>
      </c>
      <c r="I4" s="57">
        <v>1</v>
      </c>
    </row>
    <row r="5" spans="1:9">
      <c r="A5" s="46"/>
      <c r="B5" s="46"/>
      <c r="C5" s="46"/>
      <c r="D5" s="46"/>
      <c r="H5" s="47" t="s">
        <v>18</v>
      </c>
      <c r="I5" s="57" t="s">
        <v>19</v>
      </c>
    </row>
    <row r="6" spans="1:6">
      <c r="A6" s="46"/>
      <c r="B6" s="46"/>
      <c r="C6" s="46"/>
      <c r="D6" s="46"/>
      <c r="F6" s="51"/>
    </row>
    <row r="7" spans="1:4">
      <c r="A7" s="46"/>
      <c r="B7" s="46"/>
      <c r="C7" s="46"/>
      <c r="D7" s="46"/>
    </row>
    <row r="8" spans="1:4">
      <c r="A8" s="46"/>
      <c r="B8" s="46"/>
      <c r="C8" s="46"/>
      <c r="D8" s="46"/>
    </row>
    <row r="9" spans="1:4">
      <c r="A9" s="46"/>
      <c r="B9" s="46"/>
      <c r="C9" s="46"/>
      <c r="D9" s="46"/>
    </row>
    <row r="10" spans="1:4">
      <c r="A10" s="46"/>
      <c r="B10" s="46"/>
      <c r="C10" s="46"/>
      <c r="D10" s="46"/>
    </row>
    <row r="11" spans="1:4">
      <c r="A11" s="46"/>
      <c r="B11" s="46"/>
      <c r="C11" s="46"/>
      <c r="D11" s="46"/>
    </row>
    <row r="12" spans="1:4">
      <c r="A12" s="46"/>
      <c r="B12" s="46"/>
      <c r="C12" s="46"/>
      <c r="D12" s="46"/>
    </row>
    <row r="13" spans="1:4">
      <c r="A13" s="46"/>
      <c r="B13" s="46"/>
      <c r="C13" s="46"/>
      <c r="D13" s="46"/>
    </row>
    <row r="14" spans="1:4">
      <c r="A14" s="46"/>
      <c r="B14" s="46"/>
      <c r="C14" s="46"/>
      <c r="D14" s="46"/>
    </row>
    <row r="15" spans="1:4">
      <c r="A15" s="46"/>
      <c r="B15" s="46"/>
      <c r="C15" s="46"/>
      <c r="D15" s="46"/>
    </row>
    <row r="16" spans="1:4">
      <c r="A16" s="46"/>
      <c r="B16" s="46"/>
      <c r="C16" s="46"/>
      <c r="D16" s="46"/>
    </row>
    <row r="17" spans="1:4">
      <c r="A17" s="46"/>
      <c r="B17" s="46"/>
      <c r="C17" s="46"/>
      <c r="D17" s="46"/>
    </row>
    <row r="18" spans="1:4">
      <c r="A18" s="46"/>
      <c r="B18" s="46"/>
      <c r="C18" s="46"/>
      <c r="D18" s="46"/>
    </row>
    <row r="19" spans="1:4">
      <c r="A19" s="46"/>
      <c r="B19" s="46"/>
      <c r="C19" s="46"/>
      <c r="D19" s="46"/>
    </row>
  </sheetData>
  <sheetProtection selectLockedCells="1"/>
  <mergeCells count="3">
    <mergeCell ref="F1:G1"/>
    <mergeCell ref="H1:I1"/>
    <mergeCell ref="N1:O2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K43"/>
  <sheetViews>
    <sheetView showGridLines="0" tabSelected="1" zoomScale="70" zoomScaleNormal="70" workbookViewId="0">
      <pane xSplit="1" ySplit="4" topLeftCell="B5" activePane="bottomRight" state="frozen"/>
      <selection/>
      <selection pane="topRight"/>
      <selection pane="bottomLeft"/>
      <selection pane="bottomRight" activeCell="I21" sqref="I21"/>
    </sheetView>
  </sheetViews>
  <sheetFormatPr defaultColWidth="9" defaultRowHeight="15" customHeight="1"/>
  <cols>
    <col min="1" max="1" width="15.875" style="8" customWidth="1" outlineLevel="1"/>
    <col min="2" max="3" width="26.75" style="9" customWidth="1"/>
    <col min="4" max="4" width="26.625" style="9" customWidth="1"/>
    <col min="5" max="5" width="27.1416666666667" style="9" customWidth="1"/>
    <col min="6" max="6" width="20.175" style="9" customWidth="1"/>
    <col min="7" max="7" width="21.7833333333333" style="9" customWidth="1"/>
    <col min="8" max="8" width="38.375" style="9" customWidth="1"/>
    <col min="9" max="9" width="24.75" style="9" customWidth="1"/>
    <col min="10" max="10" width="12.675" style="9" customWidth="1"/>
    <col min="11" max="11" width="13.2083333333333" style="9" customWidth="1"/>
    <col min="12" max="12" width="30.35" style="9" customWidth="1"/>
    <col min="13" max="13" width="20.375" style="9" customWidth="1"/>
    <col min="14" max="14" width="14.75" style="9" customWidth="1"/>
    <col min="15" max="15" width="18.875" style="9" customWidth="1"/>
    <col min="16" max="16" width="13.5" style="9" customWidth="1"/>
    <col min="17" max="17" width="17.375" style="9" customWidth="1"/>
    <col min="18" max="18" width="24.5" style="9" customWidth="1"/>
    <col min="19" max="19" width="12" style="9" customWidth="1"/>
    <col min="20" max="20" width="23.5" style="9" customWidth="1"/>
    <col min="21" max="21" width="22.625" style="9" customWidth="1"/>
    <col min="22" max="22" width="20" style="9" customWidth="1"/>
    <col min="23" max="23" width="20.625" style="9" customWidth="1"/>
    <col min="24" max="24" width="18.125" style="9" customWidth="1"/>
    <col min="25" max="25" width="16.625" style="9" customWidth="1"/>
    <col min="26" max="26" width="25" style="9" customWidth="1"/>
    <col min="27" max="27" width="21.375" style="9" customWidth="1"/>
    <col min="28" max="28" width="25.125" style="9" customWidth="1"/>
    <col min="29" max="29" width="35.375" style="9" customWidth="1"/>
    <col min="30" max="30" width="33.375" style="9" customWidth="1"/>
    <col min="31" max="31" width="42.375" style="9" customWidth="1"/>
    <col min="32" max="32" width="33.375" style="9" customWidth="1"/>
    <col min="33" max="35" width="28.625" style="9" customWidth="1"/>
    <col min="36" max="36" width="20.625" style="9" customWidth="1"/>
    <col min="37" max="37" width="9" style="10"/>
    <col min="38" max="16384" width="9" style="11"/>
  </cols>
  <sheetData>
    <row r="1" ht="48" customHeight="1" spans="4:36">
      <c r="D1" s="12"/>
      <c r="E1" s="12"/>
      <c r="H1" s="12"/>
      <c r="K1" s="12"/>
      <c r="T1" s="12"/>
      <c r="Z1" s="12"/>
      <c r="AC1" s="12"/>
      <c r="AD1" s="12"/>
      <c r="AG1" s="12"/>
      <c r="AH1" s="12"/>
      <c r="AI1" s="12"/>
      <c r="AJ1" s="12"/>
    </row>
    <row r="2" customHeight="1" spans="1:12">
      <c r="A2" s="8" t="s">
        <v>20</v>
      </c>
      <c r="B2" s="9" t="s">
        <v>21</v>
      </c>
      <c r="C2" s="9" t="s">
        <v>22</v>
      </c>
      <c r="D2" s="9" t="s">
        <v>22</v>
      </c>
      <c r="H2" s="9" t="s">
        <v>23</v>
      </c>
      <c r="L2" s="9" t="s">
        <v>23</v>
      </c>
    </row>
    <row r="3" customHeight="1" spans="1:12">
      <c r="A3" s="13" t="s">
        <v>24</v>
      </c>
      <c r="B3" s="14" t="s">
        <v>25</v>
      </c>
      <c r="C3" s="14" t="s">
        <v>26</v>
      </c>
      <c r="D3" s="14" t="s">
        <v>27</v>
      </c>
      <c r="F3" s="14"/>
      <c r="H3" s="14" t="s">
        <v>28</v>
      </c>
      <c r="L3" s="14" t="s">
        <v>29</v>
      </c>
    </row>
    <row r="4" customHeight="1" spans="1:37">
      <c r="A4" s="15" t="s">
        <v>30</v>
      </c>
      <c r="B4" s="16" t="s">
        <v>31</v>
      </c>
      <c r="C4" s="16" t="s">
        <v>32</v>
      </c>
      <c r="D4" s="16" t="s">
        <v>33</v>
      </c>
      <c r="F4" s="16"/>
      <c r="G4" s="16"/>
      <c r="H4" s="17" t="s">
        <v>34</v>
      </c>
      <c r="I4" s="16"/>
      <c r="J4" s="16"/>
      <c r="K4" s="16"/>
      <c r="L4" s="17" t="s">
        <v>35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"/>
    </row>
    <row r="5" ht="14.25" spans="1:37">
      <c r="A5" s="15">
        <v>1</v>
      </c>
      <c r="B5" s="18" t="s">
        <v>36</v>
      </c>
      <c r="C5" s="19">
        <v>5.332</v>
      </c>
      <c r="D5" s="19">
        <v>0.097</v>
      </c>
      <c r="E5" s="19">
        <v>1.971</v>
      </c>
      <c r="F5" s="19">
        <v>2.207</v>
      </c>
      <c r="G5" s="20">
        <v>2.43</v>
      </c>
      <c r="H5" s="21" t="str">
        <f>E5&amp;"|"&amp;F5&amp;"|"&amp;G5</f>
        <v>1.971|2.207|2.43</v>
      </c>
      <c r="I5" s="28">
        <v>0.8</v>
      </c>
      <c r="J5" s="29">
        <v>0.9</v>
      </c>
      <c r="K5" s="30">
        <v>1</v>
      </c>
      <c r="L5" s="21" t="str">
        <f>I5&amp;"|"&amp;J5&amp;"|"&amp;K5</f>
        <v>0.8|0.9|1</v>
      </c>
      <c r="M5" s="31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"/>
    </row>
    <row r="6" ht="14.25" spans="1:37">
      <c r="A6" s="15">
        <v>2</v>
      </c>
      <c r="B6" s="22" t="s">
        <v>37</v>
      </c>
      <c r="C6" s="23">
        <v>5.332</v>
      </c>
      <c r="D6" s="23">
        <v>0.097</v>
      </c>
      <c r="E6" s="23">
        <v>1.971</v>
      </c>
      <c r="F6" s="23">
        <v>2.207</v>
      </c>
      <c r="G6" s="24">
        <v>2.43</v>
      </c>
      <c r="H6" s="21" t="str">
        <f t="shared" ref="H6:H43" si="0">E6&amp;"|"&amp;F6&amp;"|"&amp;G6</f>
        <v>1.971|2.207|2.43</v>
      </c>
      <c r="I6" s="32">
        <v>0.8</v>
      </c>
      <c r="J6" s="33">
        <v>0.9</v>
      </c>
      <c r="K6" s="34">
        <v>1</v>
      </c>
      <c r="L6" s="21" t="str">
        <f t="shared" ref="L6:L43" si="1">I6&amp;"|"&amp;J6&amp;"|"&amp;K6</f>
        <v>0.8|0.9|1</v>
      </c>
      <c r="M6" s="31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1"/>
    </row>
    <row r="7" ht="14.25" spans="1:37">
      <c r="A7" s="15">
        <v>3</v>
      </c>
      <c r="B7" s="22" t="s">
        <v>38</v>
      </c>
      <c r="C7" s="23">
        <v>5.332</v>
      </c>
      <c r="D7" s="23">
        <v>0.097</v>
      </c>
      <c r="E7" s="23">
        <v>1.971</v>
      </c>
      <c r="F7" s="23">
        <v>2.207</v>
      </c>
      <c r="G7" s="24">
        <v>2.43</v>
      </c>
      <c r="H7" s="21" t="str">
        <f t="shared" si="0"/>
        <v>1.971|2.207|2.43</v>
      </c>
      <c r="I7" s="32">
        <v>0.8</v>
      </c>
      <c r="J7" s="33">
        <v>0.9</v>
      </c>
      <c r="K7" s="34">
        <v>1</v>
      </c>
      <c r="L7" s="21" t="str">
        <f t="shared" si="1"/>
        <v>0.8|0.9|1</v>
      </c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1"/>
    </row>
    <row r="8" ht="14.25" spans="1:37">
      <c r="A8" s="15">
        <v>4</v>
      </c>
      <c r="B8" s="22" t="s">
        <v>39</v>
      </c>
      <c r="C8" s="23">
        <v>3.554</v>
      </c>
      <c r="D8" s="23">
        <v>0.092</v>
      </c>
      <c r="E8" s="23">
        <v>1.321</v>
      </c>
      <c r="F8" s="23">
        <v>1.476</v>
      </c>
      <c r="G8" s="24">
        <v>1.62</v>
      </c>
      <c r="H8" s="21" t="str">
        <f t="shared" si="0"/>
        <v>1.321|1.476|1.62</v>
      </c>
      <c r="I8" s="32">
        <v>0.8</v>
      </c>
      <c r="J8" s="33">
        <v>0.9</v>
      </c>
      <c r="K8" s="34">
        <v>1</v>
      </c>
      <c r="L8" s="21" t="str">
        <f t="shared" si="1"/>
        <v>0.8|0.9|1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1"/>
    </row>
    <row r="9" ht="14.25" spans="1:37">
      <c r="A9" s="15">
        <v>5</v>
      </c>
      <c r="B9" s="22" t="s">
        <v>40</v>
      </c>
      <c r="C9" s="23">
        <v>3.554</v>
      </c>
      <c r="D9" s="23">
        <v>0.092</v>
      </c>
      <c r="E9" s="23">
        <v>1.321</v>
      </c>
      <c r="F9" s="23">
        <v>1.476</v>
      </c>
      <c r="G9" s="24">
        <v>1.62</v>
      </c>
      <c r="H9" s="21" t="str">
        <f t="shared" si="0"/>
        <v>1.321|1.476|1.62</v>
      </c>
      <c r="I9" s="32">
        <v>0.8</v>
      </c>
      <c r="J9" s="33">
        <v>0.9</v>
      </c>
      <c r="K9" s="34">
        <v>1</v>
      </c>
      <c r="L9" s="21" t="str">
        <f t="shared" si="1"/>
        <v>0.8|0.9|1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1"/>
    </row>
    <row r="10" ht="14.25" spans="1:37">
      <c r="A10" s="15">
        <v>6</v>
      </c>
      <c r="B10" s="22" t="s">
        <v>41</v>
      </c>
      <c r="C10" s="23">
        <v>3.554</v>
      </c>
      <c r="D10" s="23">
        <v>0.092</v>
      </c>
      <c r="E10" s="23">
        <v>1.321</v>
      </c>
      <c r="F10" s="23">
        <v>1.476</v>
      </c>
      <c r="G10" s="24">
        <v>1.62</v>
      </c>
      <c r="H10" s="21" t="str">
        <f t="shared" si="0"/>
        <v>1.321|1.476|1.62</v>
      </c>
      <c r="I10" s="32">
        <v>0.8</v>
      </c>
      <c r="J10" s="33">
        <v>0.9</v>
      </c>
      <c r="K10" s="34">
        <v>1</v>
      </c>
      <c r="L10" s="21" t="str">
        <f t="shared" si="1"/>
        <v>0.8|0.9|1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1"/>
    </row>
    <row r="11" ht="14.25" spans="1:37">
      <c r="A11" s="15">
        <v>7</v>
      </c>
      <c r="B11" s="22" t="s">
        <v>42</v>
      </c>
      <c r="C11" s="23">
        <v>2.175</v>
      </c>
      <c r="D11" s="23">
        <v>0.085</v>
      </c>
      <c r="E11" s="23">
        <v>0.816</v>
      </c>
      <c r="F11" s="23">
        <v>0.909</v>
      </c>
      <c r="G11" s="24">
        <v>0.991</v>
      </c>
      <c r="H11" s="21" t="str">
        <f t="shared" si="0"/>
        <v>0.816|0.909|0.991</v>
      </c>
      <c r="I11" s="32">
        <v>0.8</v>
      </c>
      <c r="J11" s="33">
        <v>0.9</v>
      </c>
      <c r="K11" s="34">
        <v>1</v>
      </c>
      <c r="L11" s="21" t="str">
        <f t="shared" si="1"/>
        <v>0.8|0.9|1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1"/>
    </row>
    <row r="12" ht="14.25" spans="1:37">
      <c r="A12" s="15">
        <v>8</v>
      </c>
      <c r="B12" s="22" t="s">
        <v>43</v>
      </c>
      <c r="C12" s="23">
        <v>2.175</v>
      </c>
      <c r="D12" s="23">
        <v>0.085</v>
      </c>
      <c r="E12" s="23">
        <v>0.816</v>
      </c>
      <c r="F12" s="23">
        <v>0.909</v>
      </c>
      <c r="G12" s="24">
        <v>0.991</v>
      </c>
      <c r="H12" s="21" t="str">
        <f t="shared" si="0"/>
        <v>0.816|0.909|0.991</v>
      </c>
      <c r="I12" s="32">
        <v>0.8</v>
      </c>
      <c r="J12" s="33">
        <v>0.9</v>
      </c>
      <c r="K12" s="34">
        <v>1</v>
      </c>
      <c r="L12" s="21" t="str">
        <f t="shared" si="1"/>
        <v>0.8|0.9|1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1"/>
    </row>
    <row r="13" customHeight="1" spans="1:12">
      <c r="A13" s="15">
        <v>9</v>
      </c>
      <c r="B13" s="22" t="s">
        <v>44</v>
      </c>
      <c r="C13" s="23">
        <v>2.175</v>
      </c>
      <c r="D13" s="23">
        <v>0.085</v>
      </c>
      <c r="E13" s="23">
        <v>0.816</v>
      </c>
      <c r="F13" s="23">
        <v>0.909</v>
      </c>
      <c r="G13" s="24">
        <v>0.991</v>
      </c>
      <c r="H13" s="21" t="str">
        <f t="shared" si="0"/>
        <v>0.816|0.909|0.991</v>
      </c>
      <c r="I13" s="32">
        <v>0.8</v>
      </c>
      <c r="J13" s="33">
        <v>0.9</v>
      </c>
      <c r="K13" s="34">
        <v>1</v>
      </c>
      <c r="L13" s="21" t="str">
        <f t="shared" si="1"/>
        <v>0.8|0.9|1</v>
      </c>
    </row>
    <row r="14" customHeight="1" spans="1:12">
      <c r="A14" s="15">
        <v>10</v>
      </c>
      <c r="B14" s="22" t="s">
        <v>45</v>
      </c>
      <c r="C14" s="23">
        <v>1.359</v>
      </c>
      <c r="D14" s="23">
        <v>0.082</v>
      </c>
      <c r="E14" s="23">
        <v>0.518</v>
      </c>
      <c r="F14" s="23">
        <v>0.574</v>
      </c>
      <c r="G14" s="24">
        <v>0.619</v>
      </c>
      <c r="H14" s="21" t="str">
        <f t="shared" si="0"/>
        <v>0.518|0.574|0.619</v>
      </c>
      <c r="I14" s="32">
        <v>0.8</v>
      </c>
      <c r="J14" s="33">
        <v>0.9</v>
      </c>
      <c r="K14" s="34">
        <v>1</v>
      </c>
      <c r="L14" s="21" t="str">
        <f t="shared" si="1"/>
        <v>0.8|0.9|1</v>
      </c>
    </row>
    <row r="15" customHeight="1" spans="1:12">
      <c r="A15" s="15">
        <v>11</v>
      </c>
      <c r="B15" s="22" t="s">
        <v>46</v>
      </c>
      <c r="C15" s="23">
        <v>1.359</v>
      </c>
      <c r="D15" s="23">
        <v>0.082</v>
      </c>
      <c r="E15" s="23">
        <v>0.518</v>
      </c>
      <c r="F15" s="23">
        <v>0.574</v>
      </c>
      <c r="G15" s="24">
        <v>0.619</v>
      </c>
      <c r="H15" s="21" t="str">
        <f t="shared" si="0"/>
        <v>0.518|0.574|0.619</v>
      </c>
      <c r="I15" s="32">
        <v>0.8</v>
      </c>
      <c r="J15" s="33">
        <v>0.9</v>
      </c>
      <c r="K15" s="34">
        <v>1</v>
      </c>
      <c r="L15" s="21" t="str">
        <f t="shared" si="1"/>
        <v>0.8|0.9|1</v>
      </c>
    </row>
    <row r="16" customHeight="1" spans="1:12">
      <c r="A16" s="15">
        <v>12</v>
      </c>
      <c r="B16" s="22" t="s">
        <v>47</v>
      </c>
      <c r="C16" s="23">
        <v>1.359</v>
      </c>
      <c r="D16" s="23">
        <v>0.082</v>
      </c>
      <c r="E16" s="23">
        <v>0.518</v>
      </c>
      <c r="F16" s="23">
        <v>0.574</v>
      </c>
      <c r="G16" s="24">
        <v>0.619</v>
      </c>
      <c r="H16" s="21" t="str">
        <f t="shared" si="0"/>
        <v>0.518|0.574|0.619</v>
      </c>
      <c r="I16" s="32">
        <v>0.8</v>
      </c>
      <c r="J16" s="33">
        <v>0.9</v>
      </c>
      <c r="K16" s="34">
        <v>1</v>
      </c>
      <c r="L16" s="21" t="str">
        <f t="shared" si="1"/>
        <v>0.8|0.9|1</v>
      </c>
    </row>
    <row r="17" customHeight="1" spans="1:12">
      <c r="A17" s="15">
        <v>13</v>
      </c>
      <c r="B17" s="22" t="s">
        <v>48</v>
      </c>
      <c r="C17" s="23">
        <v>0.87</v>
      </c>
      <c r="D17" s="23">
        <v>0.082</v>
      </c>
      <c r="E17" s="23">
        <v>0.34</v>
      </c>
      <c r="F17" s="23">
        <v>0.373</v>
      </c>
      <c r="G17" s="24">
        <v>0.397</v>
      </c>
      <c r="H17" s="21" t="str">
        <f t="shared" si="0"/>
        <v>0.34|0.373|0.397</v>
      </c>
      <c r="I17" s="32">
        <v>0.8</v>
      </c>
      <c r="J17" s="33">
        <v>0.9</v>
      </c>
      <c r="K17" s="34">
        <v>1</v>
      </c>
      <c r="L17" s="21" t="str">
        <f t="shared" si="1"/>
        <v>0.8|0.9|1</v>
      </c>
    </row>
    <row r="18" customHeight="1" spans="1:12">
      <c r="A18" s="15">
        <v>14</v>
      </c>
      <c r="B18" s="22" t="s">
        <v>49</v>
      </c>
      <c r="C18" s="23">
        <v>0.87</v>
      </c>
      <c r="D18" s="23">
        <v>0.082</v>
      </c>
      <c r="E18" s="23">
        <v>0.34</v>
      </c>
      <c r="F18" s="23">
        <v>0.373</v>
      </c>
      <c r="G18" s="24">
        <v>0.397</v>
      </c>
      <c r="H18" s="21" t="str">
        <f t="shared" si="0"/>
        <v>0.34|0.373|0.397</v>
      </c>
      <c r="I18" s="32">
        <v>0.8</v>
      </c>
      <c r="J18" s="33">
        <v>0.9</v>
      </c>
      <c r="K18" s="34">
        <v>1</v>
      </c>
      <c r="L18" s="21" t="str">
        <f t="shared" si="1"/>
        <v>0.8|0.9|1</v>
      </c>
    </row>
    <row r="19" customHeight="1" spans="1:12">
      <c r="A19" s="15">
        <v>15</v>
      </c>
      <c r="B19" s="22" t="s">
        <v>50</v>
      </c>
      <c r="C19" s="23">
        <v>0.87</v>
      </c>
      <c r="D19" s="23">
        <v>0.082</v>
      </c>
      <c r="E19" s="23">
        <v>0.34</v>
      </c>
      <c r="F19" s="23">
        <v>0.373</v>
      </c>
      <c r="G19" s="24">
        <v>0.397</v>
      </c>
      <c r="H19" s="21" t="str">
        <f t="shared" si="0"/>
        <v>0.34|0.373|0.397</v>
      </c>
      <c r="I19" s="32">
        <v>0.8</v>
      </c>
      <c r="J19" s="33">
        <v>0.9</v>
      </c>
      <c r="K19" s="34">
        <v>1</v>
      </c>
      <c r="L19" s="21" t="str">
        <f t="shared" si="1"/>
        <v>0.8|0.9|1</v>
      </c>
    </row>
    <row r="20" customHeight="1" spans="1:12">
      <c r="A20" s="15">
        <v>16</v>
      </c>
      <c r="B20" s="22" t="s">
        <v>51</v>
      </c>
      <c r="C20" s="23">
        <v>0.622</v>
      </c>
      <c r="D20" s="23">
        <v>0.08</v>
      </c>
      <c r="E20" s="23">
        <v>0.249</v>
      </c>
      <c r="F20" s="23">
        <v>0.271</v>
      </c>
      <c r="G20" s="24">
        <v>0.284</v>
      </c>
      <c r="H20" s="21" t="str">
        <f t="shared" si="0"/>
        <v>0.249|0.271|0.284</v>
      </c>
      <c r="I20" s="32">
        <v>0.8</v>
      </c>
      <c r="J20" s="33">
        <v>0.9</v>
      </c>
      <c r="K20" s="34">
        <v>1</v>
      </c>
      <c r="L20" s="21" t="str">
        <f t="shared" si="1"/>
        <v>0.8|0.9|1</v>
      </c>
    </row>
    <row r="21" customHeight="1" spans="1:12">
      <c r="A21" s="15">
        <v>17</v>
      </c>
      <c r="B21" s="22" t="s">
        <v>52</v>
      </c>
      <c r="C21" s="23">
        <v>0.622</v>
      </c>
      <c r="D21" s="23">
        <v>0.08</v>
      </c>
      <c r="E21" s="23">
        <v>0.249</v>
      </c>
      <c r="F21" s="23">
        <v>0.271</v>
      </c>
      <c r="G21" s="24">
        <v>0.284</v>
      </c>
      <c r="H21" s="21" t="str">
        <f t="shared" si="0"/>
        <v>0.249|0.271|0.284</v>
      </c>
      <c r="I21" s="32">
        <v>0.8</v>
      </c>
      <c r="J21" s="33">
        <v>0.9</v>
      </c>
      <c r="K21" s="34">
        <v>1</v>
      </c>
      <c r="L21" s="21" t="str">
        <f t="shared" si="1"/>
        <v>0.8|0.9|1</v>
      </c>
    </row>
    <row r="22" customHeight="1" spans="1:12">
      <c r="A22" s="15">
        <v>18</v>
      </c>
      <c r="B22" s="22" t="s">
        <v>53</v>
      </c>
      <c r="C22" s="23">
        <v>0.622</v>
      </c>
      <c r="D22" s="23">
        <v>0.08</v>
      </c>
      <c r="E22" s="23">
        <v>0.249</v>
      </c>
      <c r="F22" s="23">
        <v>0.271</v>
      </c>
      <c r="G22" s="24">
        <v>0.284</v>
      </c>
      <c r="H22" s="21" t="str">
        <f t="shared" si="0"/>
        <v>0.249|0.271|0.284</v>
      </c>
      <c r="I22" s="32">
        <v>0.8</v>
      </c>
      <c r="J22" s="33">
        <v>0.9</v>
      </c>
      <c r="K22" s="34">
        <v>1</v>
      </c>
      <c r="L22" s="21" t="str">
        <f t="shared" si="1"/>
        <v>0.8|0.9|1</v>
      </c>
    </row>
    <row r="23" customHeight="1" spans="1:12">
      <c r="A23" s="15">
        <v>19</v>
      </c>
      <c r="B23" s="22" t="s">
        <v>54</v>
      </c>
      <c r="C23" s="23">
        <v>0.435</v>
      </c>
      <c r="D23" s="23">
        <v>0.08</v>
      </c>
      <c r="E23" s="23">
        <v>0.18</v>
      </c>
      <c r="F23" s="23">
        <v>0.194</v>
      </c>
      <c r="G23" s="24">
        <v>0.198</v>
      </c>
      <c r="H23" s="21" t="str">
        <f t="shared" si="0"/>
        <v>0.18|0.194|0.198</v>
      </c>
      <c r="I23" s="32">
        <v>0.8</v>
      </c>
      <c r="J23" s="33">
        <v>0.9</v>
      </c>
      <c r="K23" s="34">
        <v>1</v>
      </c>
      <c r="L23" s="21" t="str">
        <f t="shared" si="1"/>
        <v>0.8|0.9|1</v>
      </c>
    </row>
    <row r="24" customHeight="1" spans="1:12">
      <c r="A24" s="15">
        <v>20</v>
      </c>
      <c r="B24" s="22" t="s">
        <v>55</v>
      </c>
      <c r="C24" s="23">
        <v>0.435</v>
      </c>
      <c r="D24" s="23">
        <v>0.08</v>
      </c>
      <c r="E24" s="23">
        <v>0.18</v>
      </c>
      <c r="F24" s="23">
        <v>0.194</v>
      </c>
      <c r="G24" s="24">
        <v>0.198</v>
      </c>
      <c r="H24" s="21" t="str">
        <f t="shared" si="0"/>
        <v>0.18|0.194|0.198</v>
      </c>
      <c r="I24" s="32">
        <v>0.8</v>
      </c>
      <c r="J24" s="33">
        <v>0.9</v>
      </c>
      <c r="K24" s="34">
        <v>1</v>
      </c>
      <c r="L24" s="21" t="str">
        <f t="shared" si="1"/>
        <v>0.8|0.9|1</v>
      </c>
    </row>
    <row r="25" customHeight="1" spans="1:23">
      <c r="A25" s="15">
        <v>21</v>
      </c>
      <c r="B25" s="22" t="s">
        <v>56</v>
      </c>
      <c r="C25" s="23">
        <v>0.435</v>
      </c>
      <c r="D25" s="23">
        <v>0.08</v>
      </c>
      <c r="E25" s="23">
        <v>0.18</v>
      </c>
      <c r="F25" s="23">
        <v>0.194</v>
      </c>
      <c r="G25" s="24">
        <v>0.198</v>
      </c>
      <c r="H25" s="21" t="str">
        <f t="shared" si="0"/>
        <v>0.18|0.194|0.198</v>
      </c>
      <c r="I25" s="32">
        <v>0.8</v>
      </c>
      <c r="J25" s="33">
        <v>0.9</v>
      </c>
      <c r="K25" s="34">
        <v>1</v>
      </c>
      <c r="L25" s="21" t="str">
        <f t="shared" si="1"/>
        <v>0.8|0.9|1</v>
      </c>
      <c r="S25" s="35"/>
      <c r="T25" s="35"/>
      <c r="U25" s="35"/>
      <c r="V25" s="39"/>
      <c r="W25" s="40"/>
    </row>
    <row r="26" customHeight="1" spans="1:23">
      <c r="A26" s="15">
        <v>22</v>
      </c>
      <c r="B26" s="22" t="s">
        <v>57</v>
      </c>
      <c r="C26" s="23">
        <v>0.31</v>
      </c>
      <c r="D26" s="23">
        <v>0.078</v>
      </c>
      <c r="E26" s="23">
        <v>0.134</v>
      </c>
      <c r="F26" s="23">
        <v>0.143</v>
      </c>
      <c r="G26" s="24">
        <v>0.141</v>
      </c>
      <c r="H26" s="21" t="str">
        <f t="shared" si="0"/>
        <v>0.134|0.143|0.141</v>
      </c>
      <c r="I26" s="32">
        <v>0.8</v>
      </c>
      <c r="J26" s="33">
        <v>0.9</v>
      </c>
      <c r="K26" s="34">
        <v>1</v>
      </c>
      <c r="L26" s="21" t="str">
        <f t="shared" si="1"/>
        <v>0.8|0.9|1</v>
      </c>
      <c r="M26" s="35"/>
      <c r="N26" s="35"/>
      <c r="O26" s="35"/>
      <c r="P26" s="35"/>
      <c r="Q26" s="35"/>
      <c r="R26" s="35"/>
      <c r="S26" s="35"/>
      <c r="T26" s="35"/>
      <c r="U26" s="35"/>
      <c r="V26" s="39"/>
      <c r="W26" s="40"/>
    </row>
    <row r="27" customHeight="1" spans="1:12">
      <c r="A27" s="15">
        <v>23</v>
      </c>
      <c r="B27" s="22" t="s">
        <v>58</v>
      </c>
      <c r="C27" s="23">
        <v>0.31</v>
      </c>
      <c r="D27" s="23">
        <v>0.078</v>
      </c>
      <c r="E27" s="23">
        <v>0.134</v>
      </c>
      <c r="F27" s="23">
        <v>0.143</v>
      </c>
      <c r="G27" s="24">
        <v>0.141</v>
      </c>
      <c r="H27" s="21" t="str">
        <f t="shared" si="0"/>
        <v>0.134|0.143|0.141</v>
      </c>
      <c r="I27" s="32">
        <v>0.8</v>
      </c>
      <c r="J27" s="33">
        <v>0.9</v>
      </c>
      <c r="K27" s="34">
        <v>1</v>
      </c>
      <c r="L27" s="21" t="str">
        <f t="shared" si="1"/>
        <v>0.8|0.9|1</v>
      </c>
    </row>
    <row r="28" customHeight="1" spans="1:12">
      <c r="A28" s="15">
        <v>24</v>
      </c>
      <c r="B28" s="22" t="s">
        <v>59</v>
      </c>
      <c r="C28" s="23">
        <v>0.31</v>
      </c>
      <c r="D28" s="23">
        <v>0.078</v>
      </c>
      <c r="E28" s="23">
        <v>0.134</v>
      </c>
      <c r="F28" s="23">
        <v>0.143</v>
      </c>
      <c r="G28" s="24">
        <v>0.141</v>
      </c>
      <c r="H28" s="21" t="str">
        <f t="shared" si="0"/>
        <v>0.134|0.143|0.141</v>
      </c>
      <c r="I28" s="32">
        <v>0.8</v>
      </c>
      <c r="J28" s="33">
        <v>0.9</v>
      </c>
      <c r="K28" s="34">
        <v>1</v>
      </c>
      <c r="L28" s="21" t="str">
        <f t="shared" si="1"/>
        <v>0.8|0.9|1</v>
      </c>
    </row>
    <row r="29" customHeight="1" spans="1:12">
      <c r="A29" s="15">
        <v>25</v>
      </c>
      <c r="B29" s="22" t="s">
        <v>60</v>
      </c>
      <c r="C29" s="23">
        <v>0.229</v>
      </c>
      <c r="D29" s="23">
        <v>0.077</v>
      </c>
      <c r="E29" s="23">
        <v>0.105</v>
      </c>
      <c r="F29" s="23">
        <v>0.109</v>
      </c>
      <c r="G29" s="24">
        <v>0.104</v>
      </c>
      <c r="H29" s="21" t="str">
        <f t="shared" si="0"/>
        <v>0.105|0.109|0.104</v>
      </c>
      <c r="I29" s="32">
        <v>0.8</v>
      </c>
      <c r="J29" s="33">
        <v>0.9</v>
      </c>
      <c r="K29" s="34">
        <v>1</v>
      </c>
      <c r="L29" s="21" t="str">
        <f t="shared" si="1"/>
        <v>0.8|0.9|1</v>
      </c>
    </row>
    <row r="30" customHeight="1" spans="1:12">
      <c r="A30" s="15">
        <v>26</v>
      </c>
      <c r="B30" s="22" t="s">
        <v>61</v>
      </c>
      <c r="C30" s="23">
        <v>0.229</v>
      </c>
      <c r="D30" s="23">
        <v>0.077</v>
      </c>
      <c r="E30" s="23">
        <v>0.105</v>
      </c>
      <c r="F30" s="23">
        <v>0.109</v>
      </c>
      <c r="G30" s="24">
        <v>0.104</v>
      </c>
      <c r="H30" s="21" t="str">
        <f t="shared" si="0"/>
        <v>0.105|0.109|0.104</v>
      </c>
      <c r="I30" s="32">
        <v>0.8</v>
      </c>
      <c r="J30" s="33">
        <v>0.9</v>
      </c>
      <c r="K30" s="34">
        <v>1</v>
      </c>
      <c r="L30" s="21" t="str">
        <f t="shared" si="1"/>
        <v>0.8|0.9|1</v>
      </c>
    </row>
    <row r="31" customHeight="1" spans="1:12">
      <c r="A31" s="15">
        <v>27</v>
      </c>
      <c r="B31" s="22" t="s">
        <v>62</v>
      </c>
      <c r="C31" s="23">
        <v>0.229</v>
      </c>
      <c r="D31" s="23">
        <v>0.077</v>
      </c>
      <c r="E31" s="23">
        <v>0.105</v>
      </c>
      <c r="F31" s="23">
        <v>0.109</v>
      </c>
      <c r="G31" s="24">
        <v>0.104</v>
      </c>
      <c r="H31" s="21" t="str">
        <f t="shared" si="0"/>
        <v>0.105|0.109|0.104</v>
      </c>
      <c r="I31" s="32">
        <v>0.8</v>
      </c>
      <c r="J31" s="33">
        <v>0.9</v>
      </c>
      <c r="K31" s="34">
        <v>1</v>
      </c>
      <c r="L31" s="21" t="str">
        <f t="shared" si="1"/>
        <v>0.8|0.9|1</v>
      </c>
    </row>
    <row r="32" customHeight="1" spans="1:12">
      <c r="A32" s="15">
        <v>28</v>
      </c>
      <c r="B32" s="22" t="s">
        <v>63</v>
      </c>
      <c r="C32" s="23">
        <v>0.181</v>
      </c>
      <c r="D32" s="23">
        <v>0.077</v>
      </c>
      <c r="E32" s="23">
        <v>0.087</v>
      </c>
      <c r="F32" s="23">
        <v>0.09</v>
      </c>
      <c r="G32" s="24">
        <v>0.082</v>
      </c>
      <c r="H32" s="21" t="str">
        <f t="shared" si="0"/>
        <v>0.087|0.09|0.082</v>
      </c>
      <c r="I32" s="32">
        <v>0.8</v>
      </c>
      <c r="J32" s="33">
        <v>0.9</v>
      </c>
      <c r="K32" s="34">
        <v>1</v>
      </c>
      <c r="L32" s="21" t="str">
        <f t="shared" si="1"/>
        <v>0.8|0.9|1</v>
      </c>
    </row>
    <row r="33" customHeight="1" spans="1:12">
      <c r="A33" s="15">
        <v>29</v>
      </c>
      <c r="B33" s="22" t="s">
        <v>64</v>
      </c>
      <c r="C33" s="23">
        <v>0.181</v>
      </c>
      <c r="D33" s="23">
        <v>0.077</v>
      </c>
      <c r="E33" s="23">
        <v>0.087</v>
      </c>
      <c r="F33" s="23">
        <v>0.09</v>
      </c>
      <c r="G33" s="24">
        <v>0.082</v>
      </c>
      <c r="H33" s="21" t="str">
        <f t="shared" si="0"/>
        <v>0.087|0.09|0.082</v>
      </c>
      <c r="I33" s="32">
        <v>0.8</v>
      </c>
      <c r="J33" s="33">
        <v>0.9</v>
      </c>
      <c r="K33" s="34">
        <v>1</v>
      </c>
      <c r="L33" s="21" t="str">
        <f t="shared" si="1"/>
        <v>0.8|0.9|1</v>
      </c>
    </row>
    <row r="34" customHeight="1" spans="1:12">
      <c r="A34" s="15">
        <v>30</v>
      </c>
      <c r="B34" s="22" t="s">
        <v>65</v>
      </c>
      <c r="C34" s="23">
        <v>0.181</v>
      </c>
      <c r="D34" s="23">
        <v>0.077</v>
      </c>
      <c r="E34" s="23">
        <v>0.087</v>
      </c>
      <c r="F34" s="23">
        <v>0.09</v>
      </c>
      <c r="G34" s="24">
        <v>0.082</v>
      </c>
      <c r="H34" s="21" t="str">
        <f t="shared" si="0"/>
        <v>0.087|0.09|0.082</v>
      </c>
      <c r="I34" s="32">
        <v>0.8</v>
      </c>
      <c r="J34" s="33">
        <v>0.9</v>
      </c>
      <c r="K34" s="34">
        <v>1</v>
      </c>
      <c r="L34" s="21" t="str">
        <f t="shared" si="1"/>
        <v>0.8|0.9|1</v>
      </c>
    </row>
    <row r="35" customHeight="1" spans="1:12">
      <c r="A35" s="15">
        <v>31</v>
      </c>
      <c r="B35" s="22" t="s">
        <v>66</v>
      </c>
      <c r="C35" s="23">
        <v>0.145</v>
      </c>
      <c r="D35" s="23">
        <v>0.077</v>
      </c>
      <c r="E35" s="23">
        <v>0.074</v>
      </c>
      <c r="F35" s="23">
        <v>0.075</v>
      </c>
      <c r="G35" s="24">
        <v>0.066</v>
      </c>
      <c r="H35" s="21" t="str">
        <f t="shared" si="0"/>
        <v>0.074|0.075|0.066</v>
      </c>
      <c r="I35" s="32">
        <v>0.8</v>
      </c>
      <c r="J35" s="33">
        <v>0.9</v>
      </c>
      <c r="K35" s="34">
        <v>1</v>
      </c>
      <c r="L35" s="21" t="str">
        <f t="shared" si="1"/>
        <v>0.8|0.9|1</v>
      </c>
    </row>
    <row r="36" customHeight="1" spans="1:12">
      <c r="A36" s="15">
        <v>32</v>
      </c>
      <c r="B36" s="22" t="s">
        <v>67</v>
      </c>
      <c r="C36" s="23">
        <v>0.145</v>
      </c>
      <c r="D36" s="23">
        <v>0.077</v>
      </c>
      <c r="E36" s="23">
        <v>0.074</v>
      </c>
      <c r="F36" s="23">
        <v>0.075</v>
      </c>
      <c r="G36" s="24">
        <v>0.066</v>
      </c>
      <c r="H36" s="21" t="str">
        <f t="shared" si="0"/>
        <v>0.074|0.075|0.066</v>
      </c>
      <c r="I36" s="32">
        <v>0.8</v>
      </c>
      <c r="J36" s="33">
        <v>0.9</v>
      </c>
      <c r="K36" s="34">
        <v>1</v>
      </c>
      <c r="L36" s="21" t="str">
        <f t="shared" si="1"/>
        <v>0.8|0.9|1</v>
      </c>
    </row>
    <row r="37" customHeight="1" spans="1:12">
      <c r="A37" s="15">
        <v>33</v>
      </c>
      <c r="B37" s="22" t="s">
        <v>68</v>
      </c>
      <c r="C37" s="23">
        <v>0.145</v>
      </c>
      <c r="D37" s="23">
        <v>0.077</v>
      </c>
      <c r="E37" s="23">
        <v>0.074</v>
      </c>
      <c r="F37" s="23">
        <v>0.075</v>
      </c>
      <c r="G37" s="24">
        <v>0.066</v>
      </c>
      <c r="H37" s="21" t="str">
        <f t="shared" si="0"/>
        <v>0.074|0.075|0.066</v>
      </c>
      <c r="I37" s="32">
        <v>0.8</v>
      </c>
      <c r="J37" s="33">
        <v>0.9</v>
      </c>
      <c r="K37" s="34">
        <v>1</v>
      </c>
      <c r="L37" s="21" t="str">
        <f t="shared" si="1"/>
        <v>0.8|0.9|1</v>
      </c>
    </row>
    <row r="38" customHeight="1" spans="1:12">
      <c r="A38" s="15">
        <v>34</v>
      </c>
      <c r="B38" s="22" t="s">
        <v>69</v>
      </c>
      <c r="C38" s="23">
        <v>0.118</v>
      </c>
      <c r="D38" s="23">
        <v>0.077</v>
      </c>
      <c r="E38" s="23">
        <v>0.064</v>
      </c>
      <c r="F38" s="23">
        <v>0.064</v>
      </c>
      <c r="G38" s="24">
        <v>0.054</v>
      </c>
      <c r="H38" s="21" t="str">
        <f t="shared" si="0"/>
        <v>0.064|0.064|0.054</v>
      </c>
      <c r="I38" s="32">
        <v>0.8</v>
      </c>
      <c r="J38" s="33">
        <v>0.9</v>
      </c>
      <c r="K38" s="34">
        <v>1</v>
      </c>
      <c r="L38" s="21" t="str">
        <f t="shared" si="1"/>
        <v>0.8|0.9|1</v>
      </c>
    </row>
    <row r="39" customHeight="1" spans="1:12">
      <c r="A39" s="15">
        <v>35</v>
      </c>
      <c r="B39" s="22" t="s">
        <v>70</v>
      </c>
      <c r="C39" s="23">
        <v>0.118</v>
      </c>
      <c r="D39" s="23">
        <v>0.077</v>
      </c>
      <c r="E39" s="23">
        <v>0.064</v>
      </c>
      <c r="F39" s="23">
        <v>0.064</v>
      </c>
      <c r="G39" s="24">
        <v>0.054</v>
      </c>
      <c r="H39" s="21" t="str">
        <f t="shared" si="0"/>
        <v>0.064|0.064|0.054</v>
      </c>
      <c r="I39" s="32">
        <v>0.8</v>
      </c>
      <c r="J39" s="33">
        <v>0.9</v>
      </c>
      <c r="K39" s="34">
        <v>1</v>
      </c>
      <c r="L39" s="21" t="str">
        <f t="shared" si="1"/>
        <v>0.8|0.9|1</v>
      </c>
    </row>
    <row r="40" customHeight="1" spans="1:12">
      <c r="A40" s="15">
        <v>36</v>
      </c>
      <c r="B40" s="22" t="s">
        <v>71</v>
      </c>
      <c r="C40" s="23">
        <v>0.118</v>
      </c>
      <c r="D40" s="23">
        <v>0.077</v>
      </c>
      <c r="E40" s="23">
        <v>0.064</v>
      </c>
      <c r="F40" s="23">
        <v>0.064</v>
      </c>
      <c r="G40" s="24">
        <v>0.054</v>
      </c>
      <c r="H40" s="21" t="str">
        <f t="shared" si="0"/>
        <v>0.064|0.064|0.054</v>
      </c>
      <c r="I40" s="32">
        <v>0.8</v>
      </c>
      <c r="J40" s="33">
        <v>0.9</v>
      </c>
      <c r="K40" s="34">
        <v>1</v>
      </c>
      <c r="L40" s="21" t="str">
        <f t="shared" si="1"/>
        <v>0.8|0.9|1</v>
      </c>
    </row>
    <row r="41" customHeight="1" spans="1:12">
      <c r="A41" s="15">
        <v>37</v>
      </c>
      <c r="B41" s="22" t="s">
        <v>72</v>
      </c>
      <c r="C41" s="23">
        <v>0.091</v>
      </c>
      <c r="D41" s="23">
        <v>0.077</v>
      </c>
      <c r="E41" s="23">
        <v>0.054</v>
      </c>
      <c r="F41" s="23">
        <v>0.053</v>
      </c>
      <c r="G41" s="24">
        <v>0.041</v>
      </c>
      <c r="H41" s="21" t="str">
        <f t="shared" si="0"/>
        <v>0.054|0.053|0.041</v>
      </c>
      <c r="I41" s="32">
        <v>0.8</v>
      </c>
      <c r="J41" s="33">
        <v>0.9</v>
      </c>
      <c r="K41" s="34">
        <v>1</v>
      </c>
      <c r="L41" s="21" t="str">
        <f t="shared" si="1"/>
        <v>0.8|0.9|1</v>
      </c>
    </row>
    <row r="42" customHeight="1" spans="1:12">
      <c r="A42" s="15">
        <v>38</v>
      </c>
      <c r="B42" s="22" t="s">
        <v>73</v>
      </c>
      <c r="C42" s="23">
        <v>0.091</v>
      </c>
      <c r="D42" s="23">
        <v>0.077</v>
      </c>
      <c r="E42" s="23">
        <v>0.054</v>
      </c>
      <c r="F42" s="23">
        <v>0.053</v>
      </c>
      <c r="G42" s="24">
        <v>0.041</v>
      </c>
      <c r="H42" s="21" t="str">
        <f t="shared" si="0"/>
        <v>0.054|0.053|0.041</v>
      </c>
      <c r="I42" s="32">
        <v>0.8</v>
      </c>
      <c r="J42" s="33">
        <v>0.9</v>
      </c>
      <c r="K42" s="34">
        <v>1</v>
      </c>
      <c r="L42" s="21" t="str">
        <f t="shared" si="1"/>
        <v>0.8|0.9|1</v>
      </c>
    </row>
    <row r="43" customHeight="1" spans="1:12">
      <c r="A43" s="15">
        <v>39</v>
      </c>
      <c r="B43" s="25" t="s">
        <v>74</v>
      </c>
      <c r="C43" s="26">
        <v>0.091</v>
      </c>
      <c r="D43" s="26">
        <v>0.077</v>
      </c>
      <c r="E43" s="26">
        <v>0.054</v>
      </c>
      <c r="F43" s="26">
        <v>0.053</v>
      </c>
      <c r="G43" s="27">
        <v>0.041</v>
      </c>
      <c r="H43" s="21" t="str">
        <f t="shared" si="0"/>
        <v>0.054|0.053|0.041</v>
      </c>
      <c r="I43" s="36">
        <v>0.8</v>
      </c>
      <c r="J43" s="37">
        <v>0.9</v>
      </c>
      <c r="K43" s="38">
        <v>1</v>
      </c>
      <c r="L43" s="21" t="str">
        <f t="shared" si="1"/>
        <v>0.8|0.9|1</v>
      </c>
    </row>
  </sheetData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36"/>
  <sheetViews>
    <sheetView topLeftCell="A25" workbookViewId="0">
      <selection activeCell="A36" sqref="A36"/>
    </sheetView>
  </sheetViews>
  <sheetFormatPr defaultColWidth="9" defaultRowHeight="13.5" outlineLevelCol="7"/>
  <cols>
    <col min="1" max="1" width="9" style="1"/>
    <col min="2" max="2" width="38" style="1" customWidth="1"/>
    <col min="3" max="3" width="9" style="1"/>
  </cols>
  <sheetData>
    <row r="1" spans="1:3">
      <c r="A1" s="2" t="s">
        <v>75</v>
      </c>
      <c r="B1" s="2" t="s">
        <v>76</v>
      </c>
      <c r="C1" s="3"/>
    </row>
    <row r="2" ht="27" spans="1:3">
      <c r="A2" s="3" t="s">
        <v>77</v>
      </c>
      <c r="B2" s="4" t="s">
        <v>78</v>
      </c>
      <c r="C2" s="3" t="str">
        <f>"public "&amp;""&amp;A2&amp;" as "&amp;"string"</f>
        <v>public 表头 as string</v>
      </c>
    </row>
    <row r="3" spans="1:3">
      <c r="A3" s="3" t="s">
        <v>79</v>
      </c>
      <c r="B3" s="3" t="str">
        <f>"&lt;root type="""&amp;更新记录!$I$2&amp;"""&gt;"</f>
        <v>&lt;root type="Output"&gt;</v>
      </c>
      <c r="C3" s="3" t="str">
        <f t="shared" ref="C3:C26" si="0">"public "&amp;""&amp;A3&amp;" as "&amp;"string"</f>
        <v>public 首节 as string</v>
      </c>
    </row>
    <row r="4" spans="1:3">
      <c r="A4" s="3" t="s">
        <v>80</v>
      </c>
      <c r="B4" s="3" t="s">
        <v>81</v>
      </c>
      <c r="C4" s="3" t="str">
        <f t="shared" si="0"/>
        <v>public 尾节 as string</v>
      </c>
    </row>
    <row r="5" spans="1:3">
      <c r="A5" s="3" t="s">
        <v>82</v>
      </c>
      <c r="B5" s="3" t="s">
        <v>83</v>
      </c>
      <c r="C5" s="3" t="str">
        <f t="shared" si="0"/>
        <v>public 字头 as string</v>
      </c>
    </row>
    <row r="6" spans="1:8">
      <c r="A6" s="3" t="s">
        <v>84</v>
      </c>
      <c r="B6" s="3" t="s">
        <v>85</v>
      </c>
      <c r="C6" s="3" t="str">
        <f t="shared" si="0"/>
        <v>public 字尾 as string</v>
      </c>
      <c r="H6" t="s">
        <v>86</v>
      </c>
    </row>
    <row r="7" spans="1:3">
      <c r="A7" s="3" t="s">
        <v>87</v>
      </c>
      <c r="B7" s="3" t="s">
        <v>88</v>
      </c>
      <c r="C7" s="3" t="str">
        <f t="shared" si="0"/>
        <v>public 名称 as string</v>
      </c>
    </row>
    <row r="8" spans="1:3">
      <c r="A8" s="3" t="s">
        <v>3</v>
      </c>
      <c r="B8" s="3" t="s">
        <v>89</v>
      </c>
      <c r="C8" s="3" t="str">
        <f t="shared" si="0"/>
        <v>public 备注 as string</v>
      </c>
    </row>
    <row r="9" spans="1:3">
      <c r="A9" s="3" t="s">
        <v>90</v>
      </c>
      <c r="B9" s="3" t="s">
        <v>91</v>
      </c>
      <c r="C9" s="3" t="str">
        <f t="shared" si="0"/>
        <v>public 值 as string</v>
      </c>
    </row>
    <row r="10" spans="1:3">
      <c r="A10" s="3" t="s">
        <v>92</v>
      </c>
      <c r="B10" s="3" t="s">
        <v>93</v>
      </c>
      <c r="C10" s="3" t="str">
        <f t="shared" si="0"/>
        <v>public 引号 as string</v>
      </c>
    </row>
    <row r="11" spans="1:3">
      <c r="A11" s="3" t="s">
        <v>94</v>
      </c>
      <c r="B11" s="3" t="s">
        <v>95</v>
      </c>
      <c r="C11" s="3" t="str">
        <f t="shared" si="0"/>
        <v>public 文本首节 as string</v>
      </c>
    </row>
    <row r="12" spans="1:3">
      <c r="A12" s="3" t="s">
        <v>96</v>
      </c>
      <c r="B12" s="3" t="s">
        <v>97</v>
      </c>
      <c r="C12" s="3" t="str">
        <f t="shared" si="0"/>
        <v>public 文本尾节 as string</v>
      </c>
    </row>
    <row r="13" spans="1:3">
      <c r="A13" s="3" t="s">
        <v>98</v>
      </c>
      <c r="B13" s="3" t="s">
        <v>99</v>
      </c>
      <c r="C13" s="3" t="str">
        <f t="shared" si="0"/>
        <v>public 文本字头 as string</v>
      </c>
    </row>
    <row r="14" spans="1:3">
      <c r="A14" s="3" t="s">
        <v>100</v>
      </c>
      <c r="B14" s="3" t="s">
        <v>101</v>
      </c>
      <c r="C14" s="3" t="str">
        <f t="shared" si="0"/>
        <v>public 文本字尾 as string</v>
      </c>
    </row>
    <row r="15" spans="1:3">
      <c r="A15" s="3" t="s">
        <v>102</v>
      </c>
      <c r="B15" s="3" t="str">
        <f>"&lt;"&amp;更新记录!$I$3</f>
        <v>&lt;data</v>
      </c>
      <c r="C15" s="3" t="str">
        <f t="shared" si="0"/>
        <v>public 行头 as string</v>
      </c>
    </row>
    <row r="16" spans="1:3">
      <c r="A16" s="3" t="s">
        <v>103</v>
      </c>
      <c r="B16" s="3" t="s">
        <v>104</v>
      </c>
      <c r="C16" s="3" t="str">
        <f t="shared" si="0"/>
        <v>public 行尾 as string</v>
      </c>
    </row>
    <row r="17" s="1" customFormat="1" spans="1:3">
      <c r="A17" s="3" t="s">
        <v>105</v>
      </c>
      <c r="B17" s="3" t="s">
        <v>106</v>
      </c>
      <c r="C17" s="3" t="str">
        <f t="shared" si="0"/>
        <v>public 标志 as string</v>
      </c>
    </row>
    <row r="18" spans="1:3">
      <c r="A18" s="3" t="s">
        <v>107</v>
      </c>
      <c r="B18" s="3" t="s">
        <v>108</v>
      </c>
      <c r="C18" s="3" t="str">
        <f t="shared" si="0"/>
        <v>public 第一段 as string</v>
      </c>
    </row>
    <row r="19" spans="1:3">
      <c r="A19" s="3" t="s">
        <v>109</v>
      </c>
      <c r="B19" s="3" t="s">
        <v>110</v>
      </c>
      <c r="C19" s="3" t="str">
        <f t="shared" si="0"/>
        <v>public 第二段 as string</v>
      </c>
    </row>
    <row r="20" spans="1:3">
      <c r="A20" s="3" t="s">
        <v>111</v>
      </c>
      <c r="B20" s="3" t="s">
        <v>112</v>
      </c>
      <c r="C20" s="3" t="str">
        <f t="shared" si="0"/>
        <v>public 第三段 as string</v>
      </c>
    </row>
    <row r="21" spans="1:3">
      <c r="A21" s="5" t="s">
        <v>113</v>
      </c>
      <c r="B21" s="6" t="s">
        <v>114</v>
      </c>
      <c r="C21" s="5" t="str">
        <f t="shared" si="0"/>
        <v>public 注释 as string</v>
      </c>
    </row>
    <row r="22" spans="1:3">
      <c r="A22" s="5" t="s">
        <v>115</v>
      </c>
      <c r="B22" s="1" t="s">
        <v>116</v>
      </c>
      <c r="C22" s="5" t="str">
        <f t="shared" si="0"/>
        <v>public 分号 as string</v>
      </c>
    </row>
    <row r="23" spans="1:3">
      <c r="A23" s="5" t="s">
        <v>117</v>
      </c>
      <c r="B23" s="1" t="s">
        <v>118</v>
      </c>
      <c r="C23" s="5" t="str">
        <f t="shared" si="0"/>
        <v>public 整型 as string</v>
      </c>
    </row>
    <row r="24" spans="1:3">
      <c r="A24" s="5" t="s">
        <v>119</v>
      </c>
      <c r="B24" s="1" t="s">
        <v>120</v>
      </c>
      <c r="C24" s="5" t="str">
        <f t="shared" si="0"/>
        <v>public 浮点 as string</v>
      </c>
    </row>
    <row r="25" spans="1:3">
      <c r="A25" s="5" t="s">
        <v>121</v>
      </c>
      <c r="B25" s="1" t="s">
        <v>122</v>
      </c>
      <c r="C25" s="5" t="str">
        <f t="shared" si="0"/>
        <v>public 文本 as string</v>
      </c>
    </row>
    <row r="26" spans="1:3">
      <c r="A26" s="5" t="s">
        <v>123</v>
      </c>
      <c r="B26" s="1" t="s">
        <v>124</v>
      </c>
      <c r="C26" s="5" t="str">
        <f t="shared" si="0"/>
        <v>public 空格 as string</v>
      </c>
    </row>
    <row r="27" spans="1:3">
      <c r="A27" s="5" t="s">
        <v>125</v>
      </c>
      <c r="B27" s="5" t="s">
        <v>126</v>
      </c>
      <c r="C27" s="5" t="str">
        <f t="shared" ref="C27:C36" si="1">"public "&amp;""&amp;A27&amp;" as "&amp;"string"</f>
        <v>public 程序用 as string</v>
      </c>
    </row>
    <row r="28" spans="1:3">
      <c r="A28" s="5" t="s">
        <v>127</v>
      </c>
      <c r="B28" s="5" t="s">
        <v>128</v>
      </c>
      <c r="C28" s="5" t="str">
        <f t="shared" si="1"/>
        <v>public 杠H as string</v>
      </c>
    </row>
    <row r="29" spans="1:3">
      <c r="A29" s="5" t="s">
        <v>129</v>
      </c>
      <c r="B29" s="5" t="s">
        <v>130</v>
      </c>
      <c r="C29" s="5" t="str">
        <f t="shared" si="1"/>
        <v>public 第四段 as string</v>
      </c>
    </row>
    <row r="30" spans="1:3">
      <c r="A30" s="5" t="s">
        <v>131</v>
      </c>
      <c r="B30" s="5" t="s">
        <v>132</v>
      </c>
      <c r="C30" s="5" t="str">
        <f t="shared" si="1"/>
        <v>public 特殊输出 as string</v>
      </c>
    </row>
    <row r="31" spans="1:3">
      <c r="A31" s="5" t="s">
        <v>133</v>
      </c>
      <c r="B31" s="1" t="s">
        <v>134</v>
      </c>
      <c r="C31" s="5" t="str">
        <f t="shared" si="1"/>
        <v>public 第五段 as string</v>
      </c>
    </row>
    <row r="32" spans="1:3">
      <c r="A32" s="5" t="s">
        <v>135</v>
      </c>
      <c r="B32" s="1" t="s">
        <v>136</v>
      </c>
      <c r="C32" s="5" t="str">
        <f t="shared" si="1"/>
        <v>public 第六段 as string</v>
      </c>
    </row>
    <row r="33" ht="108" spans="1:3">
      <c r="A33" s="5" t="s">
        <v>137</v>
      </c>
      <c r="B33" s="7" t="s">
        <v>138</v>
      </c>
      <c r="C33" s="5" t="str">
        <f t="shared" si="1"/>
        <v>public 第七段 as string</v>
      </c>
    </row>
    <row r="34" s="1" customFormat="1" ht="40.5" spans="1:3">
      <c r="A34" s="5" t="s">
        <v>139</v>
      </c>
      <c r="B34" s="7" t="s">
        <v>140</v>
      </c>
      <c r="C34" s="5" t="str">
        <f t="shared" si="1"/>
        <v>public 插入段 as string</v>
      </c>
    </row>
    <row r="35" spans="1:3">
      <c r="A35" s="5" t="s">
        <v>141</v>
      </c>
      <c r="B35" s="1">
        <v>1</v>
      </c>
      <c r="C35" s="5" t="str">
        <f t="shared" si="1"/>
        <v>public 路径1记录 as string</v>
      </c>
    </row>
    <row r="36" spans="1:3">
      <c r="A36" s="5" t="s">
        <v>142</v>
      </c>
      <c r="B36" s="1">
        <v>1</v>
      </c>
      <c r="C36" s="5" t="str">
        <f t="shared" si="1"/>
        <v>public 路径2记录 as string</v>
      </c>
    </row>
  </sheetData>
  <hyperlinks>
    <hyperlink ref="B21" r:id="rId1" display=" // "/>
  </hyperlink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skmioo</cp:lastModifiedBy>
  <dcterms:created xsi:type="dcterms:W3CDTF">2006-09-13T11:21:00Z</dcterms:created>
  <dcterms:modified xsi:type="dcterms:W3CDTF">2020-11-06T02:49:07Z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20</vt:lpwstr>
  </property>
  <property fmtid="{D5CDD505-2E9C-101B-9397-08002B2CF9AE}" pid="3" name="KSOProductBuildVer">
    <vt:lpwstr>2052-11.1.0.9999</vt:lpwstr>
  </property>
</Properties>
</file>